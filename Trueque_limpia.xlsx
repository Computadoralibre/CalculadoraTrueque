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ricardo\Documents\"/>
    </mc:Choice>
  </mc:AlternateContent>
  <bookViews>
    <workbookView xWindow="0" yWindow="0" windowWidth="23790" windowHeight="7665" activeTab="4"/>
  </bookViews>
  <sheets>
    <sheet name="Mercancia" sheetId="1" r:id="rId1"/>
    <sheet name="Tasas_Cambio" sheetId="2" r:id="rId2"/>
    <sheet name="Trueque" sheetId="3" r:id="rId3"/>
    <sheet name="Medida_Importancia_Mercancia" sheetId="4" r:id="rId4"/>
    <sheet name="Mercancia_Truequeada" sheetId="5" r:id="rId5"/>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45" i="2" l="1"/>
  <c r="E44" i="2"/>
  <c r="E43" i="2"/>
  <c r="E42" i="2"/>
  <c r="E41" i="2"/>
  <c r="D43" i="2"/>
  <c r="E33" i="2"/>
  <c r="E32" i="2"/>
  <c r="E27" i="2"/>
  <c r="E26" i="2"/>
  <c r="E22" i="2"/>
  <c r="E21" i="2"/>
  <c r="E20" i="2"/>
  <c r="E19" i="2"/>
  <c r="E17" i="2"/>
  <c r="E16" i="2"/>
  <c r="E13" i="2"/>
  <c r="E12" i="2"/>
  <c r="E11" i="2"/>
  <c r="E9" i="2"/>
  <c r="E8" i="2"/>
  <c r="E7" i="2"/>
  <c r="E6" i="2"/>
  <c r="E5" i="2"/>
  <c r="E4" i="2"/>
  <c r="D45" i="2"/>
  <c r="B45" i="2"/>
  <c r="D44" i="2"/>
  <c r="B44" i="2"/>
  <c r="B43" i="2"/>
  <c r="B42" i="2"/>
  <c r="D42" i="2"/>
  <c r="D41" i="2"/>
  <c r="B41" i="2"/>
  <c r="D33" i="2"/>
  <c r="B33" i="2"/>
  <c r="D32" i="2"/>
  <c r="B32" i="2"/>
  <c r="D27" i="2"/>
  <c r="B27" i="2"/>
  <c r="D26" i="2"/>
  <c r="B26" i="2"/>
  <c r="D22" i="2"/>
  <c r="B22" i="2"/>
  <c r="D21" i="2"/>
  <c r="B21" i="2"/>
  <c r="D20" i="2"/>
  <c r="B20" i="2"/>
  <c r="D19" i="2"/>
  <c r="B19" i="2"/>
  <c r="D17" i="2"/>
  <c r="B17" i="2"/>
  <c r="D16" i="2"/>
  <c r="B16" i="2"/>
  <c r="D13" i="2"/>
  <c r="B13" i="2"/>
  <c r="D12" i="2"/>
  <c r="B12" i="2"/>
  <c r="D11" i="2"/>
  <c r="B11" i="2"/>
  <c r="D9" i="2"/>
  <c r="B9" i="2"/>
  <c r="D8" i="2"/>
  <c r="B8" i="2"/>
  <c r="D7" i="2"/>
  <c r="B7" i="2"/>
  <c r="D6" i="2"/>
  <c r="B6" i="2"/>
  <c r="D5" i="2"/>
  <c r="B5" i="2"/>
  <c r="D4" i="2"/>
  <c r="B4" i="2"/>
</calcChain>
</file>

<file path=xl/sharedStrings.xml><?xml version="1.0" encoding="utf-8"?>
<sst xmlns="http://schemas.openxmlformats.org/spreadsheetml/2006/main" count="50" uniqueCount="41">
  <si>
    <t>id_mercancia</t>
  </si>
  <si>
    <t>nombre</t>
  </si>
  <si>
    <t>unidad_peso</t>
  </si>
  <si>
    <t>ultimo_momento_trueque</t>
  </si>
  <si>
    <t>id_trueque</t>
  </si>
  <si>
    <t>cantidad_mercancia_salida_1</t>
  </si>
  <si>
    <t>id_mercancia_salida_1</t>
  </si>
  <si>
    <t>importancia_mercancia_trueque_salida_01</t>
  </si>
  <si>
    <t>id_mercancia_salida_2</t>
  </si>
  <si>
    <t>cantidad_mercancia_salida_2</t>
  </si>
  <si>
    <t>importancia_mercancia_trueque_salida_2</t>
  </si>
  <si>
    <t>id_mercancia_salida_3</t>
  </si>
  <si>
    <t>cantidad_mercancia_salida_3</t>
  </si>
  <si>
    <t>importancia_mercancia_trueque_salida_03</t>
  </si>
  <si>
    <t>id_mercancia_entrada_1</t>
  </si>
  <si>
    <t>cantidad_mercancia_entrada_1</t>
  </si>
  <si>
    <t>importancia_mercancia_entrada_1</t>
  </si>
  <si>
    <t>id_mercancia_entrada_2</t>
  </si>
  <si>
    <t>cantidad_mercancia_entrada_2</t>
  </si>
  <si>
    <t>importancia_mercancia_entrada_2</t>
  </si>
  <si>
    <t>id_mercancia_entrada_3</t>
  </si>
  <si>
    <t>cantidad_mercancia_entrada_3</t>
  </si>
  <si>
    <t>importancia_mercancia_entrada_3</t>
  </si>
  <si>
    <t>momento_trueque</t>
  </si>
  <si>
    <t>id_mercancia_a</t>
  </si>
  <si>
    <t>id_mercancia_b</t>
  </si>
  <si>
    <t>cantidad_mercancia_a</t>
  </si>
  <si>
    <t>cantidad_mercancia_b</t>
  </si>
  <si>
    <t>mango</t>
  </si>
  <si>
    <t>objeto</t>
  </si>
  <si>
    <t>manzana</t>
  </si>
  <si>
    <t>naranja</t>
  </si>
  <si>
    <t>arroz</t>
  </si>
  <si>
    <t>kilo</t>
  </si>
  <si>
    <t>habichuela</t>
  </si>
  <si>
    <t>lechuga</t>
  </si>
  <si>
    <t>cebolla</t>
  </si>
  <si>
    <t>ajo</t>
  </si>
  <si>
    <t>platano</t>
  </si>
  <si>
    <t>yautía</t>
  </si>
  <si>
    <t>Id. Mercancias/Id.Mercancias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</si>
</sst>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 ??/1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3" fontId="0" fillId="0" borderId="0" xfId="0" applyNumberFormat="1"/>
    <xf numFmtId="1" fontId="0" fillId="0" borderId="0" xfId="0" applyNumberFormat="1"/>
    <xf numFmtId="2" fontId="0" fillId="0" borderId="0" xfId="0" applyNumberFormat="1"/>
    <xf numFmtId="49" fontId="0" fillId="0" borderId="0" xfId="0" applyNumberFormat="1"/>
    <xf numFmtId="22" fontId="0" fillId="0" borderId="0" xfId="0" applyNumberFormat="1"/>
    <xf numFmtId="164" fontId="0" fillId="0" borderId="0" xfId="0" applyNumberFormat="1"/>
    <xf numFmtId="1" fontId="0" fillId="0" borderId="0" xfId="0" applyNumberForma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oneCellAnchor>
    <xdr:from>
      <xdr:col>5</xdr:col>
      <xdr:colOff>276225</xdr:colOff>
      <xdr:row>1</xdr:row>
      <xdr:rowOff>114300</xdr:rowOff>
    </xdr:from>
    <xdr:ext cx="5822941" cy="1219565"/>
    <xdr:sp macro="" textlink="">
      <xdr:nvSpPr>
        <xdr:cNvPr id="2" name="TextBox 1"/>
        <xdr:cNvSpPr txBox="1"/>
      </xdr:nvSpPr>
      <xdr:spPr>
        <a:xfrm>
          <a:off x="3886200" y="304800"/>
          <a:ext cx="5822941" cy="12195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a:t>Tabla Mercancía</a:t>
          </a:r>
        </a:p>
        <a:p>
          <a:endParaRPr lang="en-US" sz="1800"/>
        </a:p>
        <a:p>
          <a:r>
            <a:rPr lang="en-US" sz="1200"/>
            <a:t>Comentario:</a:t>
          </a:r>
        </a:p>
        <a:p>
          <a:r>
            <a:rPr lang="en-US" sz="1200"/>
            <a:t>Esta</a:t>
          </a:r>
          <a:r>
            <a:rPr lang="en-US" sz="1200" baseline="0"/>
            <a:t> es la tabla de mercancías con su identificador numerico, nombre, y unidad de medida</a:t>
          </a:r>
        </a:p>
        <a:p>
          <a:r>
            <a:rPr lang="en-US" sz="1200" baseline="0"/>
            <a:t>que representa. </a:t>
          </a:r>
          <a:endParaRPr lang="en-US" sz="12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5</xdr:col>
      <xdr:colOff>895350</xdr:colOff>
      <xdr:row>0</xdr:row>
      <xdr:rowOff>171449</xdr:rowOff>
    </xdr:from>
    <xdr:ext cx="4200525" cy="4569969"/>
    <xdr:sp macro="" textlink="">
      <xdr:nvSpPr>
        <xdr:cNvPr id="2" name="TextBox 1"/>
        <xdr:cNvSpPr txBox="1"/>
      </xdr:nvSpPr>
      <xdr:spPr>
        <a:xfrm>
          <a:off x="8705850" y="171449"/>
          <a:ext cx="4200525" cy="45699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800"/>
            <a:t>Tabla Tasas_Cambio</a:t>
          </a:r>
        </a:p>
        <a:p>
          <a:endParaRPr lang="en-US" sz="1800"/>
        </a:p>
        <a:p>
          <a:r>
            <a:rPr lang="en-US" sz="1200"/>
            <a:t>Comentario:</a:t>
          </a:r>
        </a:p>
        <a:p>
          <a:r>
            <a:rPr lang="en-US" sz="1200"/>
            <a:t>Esta</a:t>
          </a:r>
          <a:r>
            <a:rPr lang="en-US" sz="1200" baseline="0"/>
            <a:t> tabla es el resumen de la información de los trueques efectuados. Son la cantidad de mercancia por la importancia otorgada, que son sumadas para ser divididas en la cantidad de registros donde la relación de mercancías haya ocurrido. Es el promedio de las mercancías con respecto a la otra mercancia donde se intercambio en trueque. En economía se les llama tasas de cambio.</a:t>
          </a:r>
        </a:p>
        <a:p>
          <a:endParaRPr lang="en-US" sz="1200" baseline="0"/>
        </a:p>
        <a:p>
          <a:r>
            <a:rPr lang="en-US" sz="1200" baseline="0">
              <a:solidFill>
                <a:schemeClr val="tx1"/>
              </a:solidFill>
              <a:effectLst/>
              <a:latin typeface="+mn-lt"/>
              <a:ea typeface="+mn-ea"/>
              <a:cs typeface="+mn-cs"/>
            </a:rPr>
            <a:t>El procedimiento visual es ir a la tabla de 'Trueque', buscar todos los trueques que se encuentra el primer identificador como el segundo dentro de la misma transacción, que sen encuentre uno en la salida y el otro en las entradas que representa el intercambio per se, ir sumando la cantidad de cada trueque y terminar dividiendo ambas cantidades por la cantidad de registros.</a:t>
          </a:r>
        </a:p>
        <a:p>
          <a:endParaRPr lang="en-US" sz="1200" baseline="0">
            <a:solidFill>
              <a:schemeClr val="tx1"/>
            </a:solidFill>
            <a:effectLst/>
            <a:latin typeface="+mn-lt"/>
            <a:ea typeface="+mn-ea"/>
            <a:cs typeface="+mn-cs"/>
          </a:endParaRPr>
        </a:p>
        <a:p>
          <a:r>
            <a:rPr lang="en-US" sz="1200" baseline="0">
              <a:solidFill>
                <a:schemeClr val="tx1"/>
              </a:solidFill>
              <a:effectLst/>
              <a:latin typeface="+mn-lt"/>
              <a:ea typeface="+mn-ea"/>
              <a:cs typeface="+mn-cs"/>
            </a:rPr>
            <a:t>tasa de cambio de a -&gt; ∑(a*im)/Z </a:t>
          </a:r>
        </a:p>
        <a:p>
          <a:r>
            <a:rPr lang="en-US" sz="1200" baseline="0">
              <a:solidFill>
                <a:schemeClr val="tx1"/>
              </a:solidFill>
              <a:effectLst/>
              <a:latin typeface="+mn-lt"/>
              <a:ea typeface="+mn-ea"/>
              <a:cs typeface="+mn-cs"/>
            </a:rPr>
            <a:t>tasa de cambio de b -&gt; </a:t>
          </a:r>
          <a:r>
            <a:rPr lang="en-US" sz="1100" baseline="0">
              <a:solidFill>
                <a:schemeClr val="tx1"/>
              </a:solidFill>
              <a:effectLst/>
              <a:latin typeface="+mn-lt"/>
              <a:ea typeface="+mn-ea"/>
              <a:cs typeface="+mn-cs"/>
            </a:rPr>
            <a:t>∑(b*im)/Z</a:t>
          </a:r>
        </a:p>
        <a:p>
          <a:endParaRPr lang="en-US" sz="1100" baseline="0">
            <a:solidFill>
              <a:schemeClr val="tx1"/>
            </a:solidFill>
            <a:effectLst/>
            <a:latin typeface="+mn-lt"/>
            <a:ea typeface="+mn-ea"/>
            <a:cs typeface="+mn-cs"/>
          </a:endParaRPr>
        </a:p>
        <a:p>
          <a:r>
            <a:rPr lang="en-US" sz="1100" baseline="0">
              <a:solidFill>
                <a:schemeClr val="tx1"/>
              </a:solidFill>
              <a:effectLst/>
              <a:latin typeface="+mn-lt"/>
              <a:ea typeface="+mn-ea"/>
              <a:cs typeface="+mn-cs"/>
            </a:rPr>
            <a:t>en los registros donde se han encontrado los intercambios.</a:t>
          </a:r>
          <a:endParaRPr lang="en-US" sz="1200" baseline="0">
            <a:solidFill>
              <a:schemeClr val="tx1"/>
            </a:solidFill>
            <a:effectLst/>
            <a:latin typeface="+mn-lt"/>
            <a:ea typeface="+mn-ea"/>
            <a:cs typeface="+mn-cs"/>
          </a:endParaRP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14</xdr:col>
      <xdr:colOff>428625</xdr:colOff>
      <xdr:row>1</xdr:row>
      <xdr:rowOff>19050</xdr:rowOff>
    </xdr:from>
    <xdr:ext cx="4171950" cy="3004349"/>
    <xdr:sp macro="" textlink="">
      <xdr:nvSpPr>
        <xdr:cNvPr id="2" name="TextBox 1"/>
        <xdr:cNvSpPr txBox="1"/>
      </xdr:nvSpPr>
      <xdr:spPr>
        <a:xfrm>
          <a:off x="22526625" y="209550"/>
          <a:ext cx="4171950" cy="30043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800"/>
            <a:t>Tabla Trueque</a:t>
          </a:r>
        </a:p>
        <a:p>
          <a:endParaRPr lang="en-US" sz="1200"/>
        </a:p>
        <a:p>
          <a:r>
            <a:rPr lang="en-US" sz="1200"/>
            <a:t>Comentario: </a:t>
          </a:r>
        </a:p>
        <a:p>
          <a:r>
            <a:rPr lang="en-US" sz="1200"/>
            <a:t>Cada</a:t>
          </a:r>
          <a:r>
            <a:rPr lang="en-US" sz="1200" baseline="0"/>
            <a:t> registro en esta tabla, es cada trueque que se lleva a cabo, se tomaron solo tres opciones de mercancías de entrada o de salida. Se puede agregar más si entiende que sea necesario, tiene que tomarse en cuenta en la tabla de importancia para que los datos mantengan la consistencia. </a:t>
          </a:r>
        </a:p>
        <a:p>
          <a:endParaRPr lang="en-US" sz="1200" baseline="0"/>
        </a:p>
        <a:p>
          <a:r>
            <a:rPr lang="en-US" sz="1200" baseline="0"/>
            <a:t>Tiene los campos que indican cual es la mercancia que se dan o se reciben, se usa el identificador de mercancía que está en la tabla 'Mercancia'.</a:t>
          </a:r>
        </a:p>
        <a:p>
          <a:endParaRPr lang="en-US" sz="1200" baseline="0"/>
        </a:p>
        <a:p>
          <a:r>
            <a:rPr lang="en-US" sz="1200" baseline="0"/>
            <a:t>El otro campo necesario es la cantidad que se entrego o se recibio.</a:t>
          </a:r>
          <a:endParaRPr lang="en-US" sz="12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8</xdr:col>
      <xdr:colOff>19050</xdr:colOff>
      <xdr:row>1</xdr:row>
      <xdr:rowOff>28574</xdr:rowOff>
    </xdr:from>
    <xdr:ext cx="4886325" cy="1751954"/>
    <xdr:sp macro="" textlink="">
      <xdr:nvSpPr>
        <xdr:cNvPr id="2" name="TextBox 1"/>
        <xdr:cNvSpPr txBox="1"/>
      </xdr:nvSpPr>
      <xdr:spPr>
        <a:xfrm>
          <a:off x="15687675" y="219074"/>
          <a:ext cx="4886325" cy="17519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800"/>
            <a:t>Tabla Medida_Importancia_mercancia</a:t>
          </a:r>
        </a:p>
        <a:p>
          <a:endParaRPr lang="en-US" sz="1100"/>
        </a:p>
        <a:p>
          <a:r>
            <a:rPr lang="en-US" sz="1100"/>
            <a:t>Comentario: </a:t>
          </a:r>
        </a:p>
        <a:p>
          <a:endParaRPr lang="en-US" sz="1100"/>
        </a:p>
        <a:p>
          <a:r>
            <a:rPr lang="en-US" sz="1100"/>
            <a:t>El valor de importancia asume que todos los valores se toman en referencia a cada</a:t>
          </a:r>
          <a:r>
            <a:rPr lang="en-US" sz="1100" baseline="0"/>
            <a:t> una de las otras mercancías que pudiese haber en cada trueque en el sentido de entrada o de salida. Lo hace en valores fraccionario entre 0 y 1. Así en un trueque que solo se entregue dos mercancías si se le asigna 40/100 de importancia a una, a la otra, solo podra tener 60/100 como maximo de importancia. </a:t>
          </a:r>
          <a:endParaRPr lang="en-US" sz="1100"/>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12</xdr:col>
      <xdr:colOff>371475</xdr:colOff>
      <xdr:row>1</xdr:row>
      <xdr:rowOff>180975</xdr:rowOff>
    </xdr:from>
    <xdr:ext cx="5693995" cy="1971052"/>
    <xdr:sp macro="" textlink="">
      <xdr:nvSpPr>
        <xdr:cNvPr id="2" name="TextBox 1"/>
        <xdr:cNvSpPr txBox="1"/>
      </xdr:nvSpPr>
      <xdr:spPr>
        <a:xfrm>
          <a:off x="7686675" y="371475"/>
          <a:ext cx="5693995" cy="19710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a:t>Tabla Mercancia</a:t>
          </a:r>
          <a:r>
            <a:rPr lang="en-US" sz="1800" baseline="0"/>
            <a:t>_truequeada</a:t>
          </a:r>
        </a:p>
        <a:p>
          <a:endParaRPr lang="en-US" sz="1800" baseline="0"/>
        </a:p>
        <a:p>
          <a:r>
            <a:rPr lang="en-US" sz="1200" baseline="0"/>
            <a:t>Comentario:</a:t>
          </a:r>
        </a:p>
        <a:p>
          <a:r>
            <a:rPr lang="en-US" sz="1200" baseline="0"/>
            <a:t>Es un historial de que existe algún trueque en que la relación de mercancia,</a:t>
          </a:r>
        </a:p>
        <a:p>
          <a:r>
            <a:rPr lang="en-US" sz="1200" baseline="0"/>
            <a:t>ha sido llevada a cabo. Este valor se usa para determinar cuales son las relaciones</a:t>
          </a:r>
        </a:p>
        <a:p>
          <a:r>
            <a:rPr lang="en-US" sz="1200" baseline="0"/>
            <a:t>que son enumeradas en la tabla de tasas de cambio. Es una tabla de soporte para</a:t>
          </a:r>
        </a:p>
        <a:p>
          <a:r>
            <a:rPr lang="en-US" sz="1200" baseline="0"/>
            <a:t>organizarse para el calculo de las relaciones de trueque de las mercancías.</a:t>
          </a:r>
        </a:p>
        <a:p>
          <a:endParaRPr lang="en-US" sz="1200" baseline="0"/>
        </a:p>
        <a:p>
          <a:r>
            <a:rPr lang="en-US" sz="1200" baseline="0"/>
            <a:t>Si nota es una tabla simetrica de tal forma que se pueda leer de filas como de columnas.</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Views>
    <sheetView workbookViewId="0">
      <selection activeCell="C10" sqref="C10"/>
    </sheetView>
  </sheetViews>
  <sheetFormatPr defaultRowHeight="15" x14ac:dyDescent="0.25"/>
  <cols>
    <col min="1" max="1" width="12.7109375" style="2" bestFit="1" customWidth="1"/>
    <col min="2" max="2" width="10.7109375" style="4" bestFit="1" customWidth="1"/>
    <col min="3" max="3" width="12.42578125" style="4" bestFit="1" customWidth="1"/>
  </cols>
  <sheetData>
    <row r="1" spans="1:3" x14ac:dyDescent="0.25">
      <c r="A1" s="2" t="s">
        <v>0</v>
      </c>
      <c r="B1" s="4" t="s">
        <v>1</v>
      </c>
      <c r="C1" s="4" t="s">
        <v>2</v>
      </c>
    </row>
    <row r="2" spans="1:3" x14ac:dyDescent="0.25">
      <c r="A2" s="2">
        <v>1</v>
      </c>
      <c r="B2" s="4" t="s">
        <v>28</v>
      </c>
      <c r="C2" s="4" t="s">
        <v>29</v>
      </c>
    </row>
    <row r="3" spans="1:3" x14ac:dyDescent="0.25">
      <c r="A3" s="2">
        <v>2</v>
      </c>
      <c r="B3" s="4" t="s">
        <v>30</v>
      </c>
      <c r="C3" s="4" t="s">
        <v>29</v>
      </c>
    </row>
    <row r="4" spans="1:3" x14ac:dyDescent="0.25">
      <c r="A4" s="2">
        <v>3</v>
      </c>
      <c r="B4" s="4" t="s">
        <v>31</v>
      </c>
      <c r="C4" s="4" t="s">
        <v>29</v>
      </c>
    </row>
    <row r="5" spans="1:3" x14ac:dyDescent="0.25">
      <c r="A5" s="2">
        <v>4</v>
      </c>
      <c r="B5" s="4" t="s">
        <v>32</v>
      </c>
      <c r="C5" s="4" t="s">
        <v>33</v>
      </c>
    </row>
    <row r="6" spans="1:3" x14ac:dyDescent="0.25">
      <c r="A6" s="2">
        <v>5</v>
      </c>
      <c r="B6" s="4" t="s">
        <v>34</v>
      </c>
      <c r="C6" s="4" t="s">
        <v>33</v>
      </c>
    </row>
    <row r="7" spans="1:3" x14ac:dyDescent="0.25">
      <c r="A7" s="2">
        <v>6</v>
      </c>
      <c r="B7" s="4" t="s">
        <v>35</v>
      </c>
      <c r="C7" s="4" t="s">
        <v>29</v>
      </c>
    </row>
    <row r="8" spans="1:3" x14ac:dyDescent="0.25">
      <c r="A8" s="2">
        <v>7</v>
      </c>
      <c r="B8" s="4" t="s">
        <v>36</v>
      </c>
      <c r="C8" s="4" t="s">
        <v>33</v>
      </c>
    </row>
    <row r="9" spans="1:3" x14ac:dyDescent="0.25">
      <c r="A9" s="2">
        <v>8</v>
      </c>
      <c r="B9" s="4" t="s">
        <v>37</v>
      </c>
      <c r="C9" s="4" t="s">
        <v>33</v>
      </c>
    </row>
    <row r="10" spans="1:3" x14ac:dyDescent="0.25">
      <c r="A10" s="2">
        <v>9</v>
      </c>
      <c r="B10" s="4" t="s">
        <v>38</v>
      </c>
      <c r="C10" s="4" t="s">
        <v>29</v>
      </c>
    </row>
    <row r="11" spans="1:3" x14ac:dyDescent="0.25">
      <c r="A11" s="2">
        <v>10</v>
      </c>
      <c r="B11" s="4" t="s">
        <v>39</v>
      </c>
      <c r="C11" s="4" t="s">
        <v>33</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6"/>
  <sheetViews>
    <sheetView workbookViewId="0">
      <selection activeCell="B14" sqref="B14"/>
    </sheetView>
  </sheetViews>
  <sheetFormatPr defaultRowHeight="15" x14ac:dyDescent="0.25"/>
  <cols>
    <col min="1" max="1" width="19.140625" style="2" bestFit="1" customWidth="1"/>
    <col min="2" max="2" width="25.140625" style="3" bestFit="1" customWidth="1"/>
    <col min="3" max="3" width="20.7109375" style="2" bestFit="1" customWidth="1"/>
    <col min="4" max="4" width="27" style="3" bestFit="1" customWidth="1"/>
    <col min="5" max="5" width="25.140625" style="5" bestFit="1" customWidth="1"/>
    <col min="6" max="6" width="19.42578125" style="2" bestFit="1" customWidth="1"/>
    <col min="7" max="7" width="46.85546875" style="3" bestFit="1" customWidth="1"/>
    <col min="8" max="8" width="19.5703125" style="2" bestFit="1" customWidth="1"/>
    <col min="9" max="9" width="46.85546875" style="3" bestFit="1" customWidth="1"/>
  </cols>
  <sheetData>
    <row r="1" spans="1:5" x14ac:dyDescent="0.25">
      <c r="A1" s="2" t="s">
        <v>24</v>
      </c>
      <c r="B1" s="3" t="s">
        <v>26</v>
      </c>
      <c r="C1" s="2" t="s">
        <v>25</v>
      </c>
      <c r="D1" s="3" t="s">
        <v>27</v>
      </c>
      <c r="E1" s="5" t="s">
        <v>3</v>
      </c>
    </row>
    <row r="2" spans="1:5" x14ac:dyDescent="0.25">
      <c r="A2" s="2">
        <v>1</v>
      </c>
      <c r="C2" s="2">
        <v>2</v>
      </c>
    </row>
    <row r="3" spans="1:5" x14ac:dyDescent="0.25">
      <c r="A3" s="2">
        <v>1</v>
      </c>
      <c r="C3" s="2">
        <v>3</v>
      </c>
    </row>
    <row r="4" spans="1:5" x14ac:dyDescent="0.25">
      <c r="A4" s="2">
        <v>1</v>
      </c>
      <c r="B4" s="3">
        <f>Trueque!D2*Medida_Importancia_Mercancia!B2</f>
        <v>4.8</v>
      </c>
      <c r="C4" s="2">
        <v>4</v>
      </c>
      <c r="D4" s="3">
        <f>Trueque!J2*Medida_Importancia_Mercancia!E2</f>
        <v>7.8</v>
      </c>
      <c r="E4" s="5">
        <f>Trueque!B2</f>
        <v>45220.5</v>
      </c>
    </row>
    <row r="5" spans="1:5" x14ac:dyDescent="0.25">
      <c r="A5" s="2">
        <v>1</v>
      </c>
      <c r="B5" s="3">
        <f>Trueque!D2*Medida_Importancia_Mercancia!B2</f>
        <v>4.8</v>
      </c>
      <c r="C5" s="2">
        <v>5</v>
      </c>
      <c r="D5" s="3">
        <f>Trueque!L2*Medida_Importancia_Mercancia!F2</f>
        <v>0.16000000000000003</v>
      </c>
      <c r="E5" s="5">
        <f>Trueque!B2</f>
        <v>45220.5</v>
      </c>
    </row>
    <row r="6" spans="1:5" x14ac:dyDescent="0.25">
      <c r="A6" s="2">
        <v>1</v>
      </c>
      <c r="B6" s="3">
        <f>Trueque!L7*Medida_Importancia_Mercancia!F7</f>
        <v>25.8</v>
      </c>
      <c r="C6" s="2">
        <v>6</v>
      </c>
      <c r="D6" s="3">
        <f>Trueque!F7*Medida_Importancia_Mercancia!C7</f>
        <v>12.299999999999999</v>
      </c>
      <c r="E6" s="5">
        <f>Trueque!B7</f>
        <v>45221.541666666664</v>
      </c>
    </row>
    <row r="7" spans="1:5" x14ac:dyDescent="0.25">
      <c r="A7" s="2">
        <v>1</v>
      </c>
      <c r="B7" s="3">
        <f>Trueque!L7*Medida_Importancia_Mercancia!F7</f>
        <v>25.8</v>
      </c>
      <c r="C7" s="2">
        <v>7</v>
      </c>
      <c r="D7" s="3">
        <f>Trueque!D7*Medida_Importancia_Mercancia!B7</f>
        <v>13.299999999999999</v>
      </c>
      <c r="E7" s="5">
        <f>Trueque!B7</f>
        <v>45221.541666666664</v>
      </c>
    </row>
    <row r="8" spans="1:5" x14ac:dyDescent="0.25">
      <c r="A8" s="2">
        <v>1</v>
      </c>
      <c r="B8" s="3">
        <f>Trueque!L6*Medida_Importancia_Mercancia!F6</f>
        <v>7.1999999999999993</v>
      </c>
      <c r="C8" s="2">
        <v>8</v>
      </c>
      <c r="D8" s="3">
        <f>Trueque!F6*Medida_Importancia_Mercancia!C6</f>
        <v>17</v>
      </c>
      <c r="E8" s="5">
        <f>Trueque!B6</f>
        <v>45221.5</v>
      </c>
    </row>
    <row r="9" spans="1:5" x14ac:dyDescent="0.25">
      <c r="A9" s="2">
        <v>1</v>
      </c>
      <c r="B9" s="3">
        <f>Trueque!D6*Medida_Importancia_Mercancia!F6</f>
        <v>10.799999999999999</v>
      </c>
      <c r="C9" s="2">
        <v>9</v>
      </c>
      <c r="D9" s="3">
        <f>Trueque!D6*Medida_Importancia_Mercancia!B6</f>
        <v>9</v>
      </c>
      <c r="E9" s="5">
        <f>Trueque!B6</f>
        <v>45221.5</v>
      </c>
    </row>
    <row r="10" spans="1:5" x14ac:dyDescent="0.25">
      <c r="A10" s="2">
        <v>1</v>
      </c>
      <c r="C10" s="2">
        <v>10</v>
      </c>
    </row>
    <row r="11" spans="1:5" x14ac:dyDescent="0.25">
      <c r="A11" s="2">
        <v>2</v>
      </c>
      <c r="B11" s="3">
        <f>Trueque!D3*Medida_Importancia_Mercancia!B3</f>
        <v>4.8</v>
      </c>
      <c r="C11" s="2">
        <v>3</v>
      </c>
      <c r="D11" s="3">
        <f>Trueque!J3*Medida_Importancia_Mercancia!E3</f>
        <v>15.200000000000001</v>
      </c>
      <c r="E11" s="5">
        <f>Trueque!B3</f>
        <v>45220.041666666664</v>
      </c>
    </row>
    <row r="12" spans="1:5" x14ac:dyDescent="0.25">
      <c r="A12" s="2">
        <v>2</v>
      </c>
      <c r="B12" s="3">
        <f>Trueque!F2*Medida_Importancia_Mercancia!C2</f>
        <v>2.1</v>
      </c>
      <c r="C12" s="2">
        <v>4</v>
      </c>
      <c r="D12" s="3">
        <f>Trueque!J2*Medida_Importancia_Mercancia!E2</f>
        <v>7.8</v>
      </c>
      <c r="E12" s="5">
        <f>Trueque!B2</f>
        <v>45220.5</v>
      </c>
    </row>
    <row r="13" spans="1:5" x14ac:dyDescent="0.25">
      <c r="A13" s="2">
        <v>2</v>
      </c>
      <c r="B13" s="3">
        <f>Trueque!F2*Medida_Importancia_Mercancia!C2</f>
        <v>2.1</v>
      </c>
      <c r="C13" s="2">
        <v>5</v>
      </c>
      <c r="D13" s="3">
        <f>Trueque!L2*Medida_Importancia_Mercancia!F2</f>
        <v>0.16000000000000003</v>
      </c>
      <c r="E13" s="5">
        <f>Trueque!B2</f>
        <v>45220.5</v>
      </c>
    </row>
    <row r="14" spans="1:5" x14ac:dyDescent="0.25">
      <c r="A14" s="2">
        <v>2</v>
      </c>
      <c r="C14" s="2">
        <v>6</v>
      </c>
    </row>
    <row r="15" spans="1:5" x14ac:dyDescent="0.25">
      <c r="A15" s="2">
        <v>2</v>
      </c>
      <c r="C15" s="2">
        <v>7</v>
      </c>
    </row>
    <row r="16" spans="1:5" x14ac:dyDescent="0.25">
      <c r="A16" s="2">
        <v>2</v>
      </c>
      <c r="B16" s="3">
        <f>Trueque!J6*Medida_Importancia_Mercancia!E6</f>
        <v>17.600000000000001</v>
      </c>
      <c r="C16" s="2">
        <v>8</v>
      </c>
      <c r="D16" s="3">
        <f>Trueque!F6*Medida_Importancia_Mercancia!C6</f>
        <v>17</v>
      </c>
      <c r="E16" s="5">
        <f>Trueque!B3</f>
        <v>45220.041666666664</v>
      </c>
    </row>
    <row r="17" spans="1:5" x14ac:dyDescent="0.25">
      <c r="A17" s="2">
        <v>2</v>
      </c>
      <c r="B17" s="3">
        <f>Trueque!J6*Medida_Importancia_Mercancia!E6</f>
        <v>17.600000000000001</v>
      </c>
      <c r="C17" s="2">
        <v>9</v>
      </c>
      <c r="D17" s="3">
        <f>Trueque!D6*Medida_Importancia_Mercancia!B6</f>
        <v>9</v>
      </c>
      <c r="E17" s="5">
        <f>Trueque!B6</f>
        <v>45221.5</v>
      </c>
    </row>
    <row r="18" spans="1:5" x14ac:dyDescent="0.25">
      <c r="A18" s="2">
        <v>2</v>
      </c>
      <c r="C18" s="2">
        <v>10</v>
      </c>
    </row>
    <row r="19" spans="1:5" x14ac:dyDescent="0.25">
      <c r="A19" s="2">
        <v>3</v>
      </c>
      <c r="B19" s="3">
        <f>Trueque!H2*Medida_Importancia_Mercancia!D2</f>
        <v>0.9</v>
      </c>
      <c r="C19" s="2">
        <v>4</v>
      </c>
      <c r="D19" s="3">
        <f>Trueque!J2*Medida_Importancia_Mercancia!E2</f>
        <v>7.8</v>
      </c>
      <c r="E19" s="5">
        <f>Trueque!B2</f>
        <v>45220.5</v>
      </c>
    </row>
    <row r="20" spans="1:5" x14ac:dyDescent="0.25">
      <c r="A20" s="2">
        <v>3</v>
      </c>
      <c r="B20" s="3">
        <f>Trueque!H2*Medida_Importancia_Mercancia!D2</f>
        <v>0.9</v>
      </c>
      <c r="C20" s="2">
        <v>5</v>
      </c>
      <c r="D20" s="3">
        <f>Trueque!L2*Medida_Importancia_Mercancia!F2</f>
        <v>0.16000000000000003</v>
      </c>
      <c r="E20" s="5">
        <f>Trueque!B2</f>
        <v>45220.5</v>
      </c>
    </row>
    <row r="21" spans="1:5" x14ac:dyDescent="0.25">
      <c r="A21" s="2">
        <v>3</v>
      </c>
      <c r="B21" s="3">
        <f>Trueque!L5*Medida_Importancia_Mercancia!F5</f>
        <v>38.700000000000003</v>
      </c>
      <c r="C21" s="2">
        <v>6</v>
      </c>
      <c r="D21" s="3">
        <f>Trueque!D5*Medida_Importancia_Mercancia!B6</f>
        <v>6</v>
      </c>
      <c r="E21" s="5">
        <f>Trueque!B5</f>
        <v>45221.458333333336</v>
      </c>
    </row>
    <row r="22" spans="1:5" x14ac:dyDescent="0.25">
      <c r="A22" s="2">
        <v>3</v>
      </c>
      <c r="B22" s="3">
        <f>Trueque!J3*Medida_Importancia_Mercancia!E3</f>
        <v>15.200000000000001</v>
      </c>
      <c r="C22" s="2">
        <v>7</v>
      </c>
      <c r="D22" s="3">
        <f>Trueque!F3*Medida_Importancia_Mercancia!C3</f>
        <v>10.5</v>
      </c>
      <c r="E22" s="5">
        <f>Trueque!B3</f>
        <v>45220.041666666664</v>
      </c>
    </row>
    <row r="23" spans="1:5" x14ac:dyDescent="0.25">
      <c r="A23" s="2">
        <v>3</v>
      </c>
      <c r="C23" s="2">
        <v>8</v>
      </c>
    </row>
    <row r="24" spans="1:5" x14ac:dyDescent="0.25">
      <c r="A24" s="2">
        <v>3</v>
      </c>
      <c r="C24" s="2">
        <v>9</v>
      </c>
    </row>
    <row r="25" spans="1:5" x14ac:dyDescent="0.25">
      <c r="A25" s="2">
        <v>3</v>
      </c>
      <c r="C25" s="2">
        <v>10</v>
      </c>
    </row>
    <row r="26" spans="1:5" x14ac:dyDescent="0.25">
      <c r="A26" s="2">
        <v>4</v>
      </c>
      <c r="B26" s="3">
        <f>Trueque!J5*Medida_Importancia_Mercancia!E5</f>
        <v>10.920000000000002</v>
      </c>
      <c r="C26" s="2">
        <v>5</v>
      </c>
      <c r="D26" s="3">
        <f>Trueque!F5*Medida_Importancia_Mercancia!C6</f>
        <v>11</v>
      </c>
      <c r="E26" s="5">
        <f>Trueque!B5</f>
        <v>45221.458333333336</v>
      </c>
    </row>
    <row r="27" spans="1:5" x14ac:dyDescent="0.25">
      <c r="A27" s="2">
        <v>4</v>
      </c>
      <c r="B27" s="3">
        <f>Trueque!J5*Medida_Importancia_Mercancia!E5</f>
        <v>10.920000000000002</v>
      </c>
      <c r="C27" s="2">
        <v>6</v>
      </c>
      <c r="D27" s="3">
        <f>Trueque!D5*Medida_Importancia_Mercancia!B5</f>
        <v>1.7999999999999998</v>
      </c>
      <c r="E27" s="5">
        <f>Trueque!B5</f>
        <v>45221.458333333336</v>
      </c>
    </row>
    <row r="28" spans="1:5" x14ac:dyDescent="0.25">
      <c r="A28" s="2">
        <v>4</v>
      </c>
      <c r="C28" s="2">
        <v>7</v>
      </c>
    </row>
    <row r="29" spans="1:5" x14ac:dyDescent="0.25">
      <c r="A29" s="2">
        <v>4</v>
      </c>
      <c r="C29" s="2">
        <v>8</v>
      </c>
    </row>
    <row r="30" spans="1:5" x14ac:dyDescent="0.25">
      <c r="A30" s="2">
        <v>4</v>
      </c>
      <c r="C30" s="2">
        <v>9</v>
      </c>
    </row>
    <row r="31" spans="1:5" x14ac:dyDescent="0.25">
      <c r="A31" s="2">
        <v>4</v>
      </c>
      <c r="C31" s="2">
        <v>10</v>
      </c>
    </row>
    <row r="32" spans="1:5" x14ac:dyDescent="0.25">
      <c r="A32" s="2">
        <v>5</v>
      </c>
      <c r="B32" s="3">
        <f>Trueque!J7*Medida_Importancia_Mercancia!E7</f>
        <v>13.200000000000001</v>
      </c>
      <c r="C32" s="2">
        <v>6</v>
      </c>
      <c r="D32" s="3">
        <f>Trueque!F7*Medida_Importancia_Mercancia!C7</f>
        <v>12.299999999999999</v>
      </c>
      <c r="E32" s="5">
        <f>Trueque!B7</f>
        <v>45221.541666666664</v>
      </c>
    </row>
    <row r="33" spans="1:5" x14ac:dyDescent="0.25">
      <c r="A33" s="2">
        <v>5</v>
      </c>
      <c r="B33" s="3">
        <f>Trueque!J7*Medida_Importancia_Mercancia!E7</f>
        <v>13.200000000000001</v>
      </c>
      <c r="C33" s="2">
        <v>7</v>
      </c>
      <c r="D33" s="3">
        <f>Trueque!D7*Medida_Importancia_Mercancia!B7</f>
        <v>13.299999999999999</v>
      </c>
      <c r="E33" s="5">
        <f>Trueque!B7</f>
        <v>45221.541666666664</v>
      </c>
    </row>
    <row r="34" spans="1:5" x14ac:dyDescent="0.25">
      <c r="A34" s="2">
        <v>5</v>
      </c>
      <c r="C34" s="2">
        <v>8</v>
      </c>
    </row>
    <row r="35" spans="1:5" x14ac:dyDescent="0.25">
      <c r="A35" s="2">
        <v>5</v>
      </c>
      <c r="C35" s="2">
        <v>9</v>
      </c>
    </row>
    <row r="36" spans="1:5" x14ac:dyDescent="0.25">
      <c r="A36" s="2">
        <v>5</v>
      </c>
      <c r="C36" s="2">
        <v>10</v>
      </c>
    </row>
    <row r="37" spans="1:5" x14ac:dyDescent="0.25">
      <c r="A37" s="2">
        <v>6</v>
      </c>
      <c r="C37" s="2">
        <v>7</v>
      </c>
    </row>
    <row r="38" spans="1:5" x14ac:dyDescent="0.25">
      <c r="A38" s="2">
        <v>6</v>
      </c>
      <c r="C38" s="2">
        <v>8</v>
      </c>
    </row>
    <row r="39" spans="1:5" x14ac:dyDescent="0.25">
      <c r="A39" s="2">
        <v>6</v>
      </c>
      <c r="C39" s="2">
        <v>9</v>
      </c>
    </row>
    <row r="40" spans="1:5" x14ac:dyDescent="0.25">
      <c r="A40" s="2">
        <v>6</v>
      </c>
      <c r="C40" s="2">
        <v>10</v>
      </c>
    </row>
    <row r="41" spans="1:5" x14ac:dyDescent="0.25">
      <c r="A41" s="2">
        <v>7</v>
      </c>
      <c r="B41" s="3">
        <f>Trueque!F3*Medida_Importancia_Mercancia!C3</f>
        <v>10.5</v>
      </c>
      <c r="C41" s="2">
        <v>8</v>
      </c>
      <c r="D41" s="3">
        <f>Trueque!L3*Medida_Importancia_Mercancia!F3</f>
        <v>2.8000000000000003</v>
      </c>
      <c r="E41" s="5">
        <f>Trueque!B3</f>
        <v>45220.041666666664</v>
      </c>
    </row>
    <row r="42" spans="1:5" x14ac:dyDescent="0.25">
      <c r="A42" s="2">
        <v>7</v>
      </c>
      <c r="B42" s="3">
        <f>Trueque!L4*Medida_Importancia_Mercancia!F4</f>
        <v>2.1</v>
      </c>
      <c r="C42" s="2">
        <v>9</v>
      </c>
      <c r="D42" s="3">
        <f>Trueque!D4*Medida_Importancia_Mercancia!B4</f>
        <v>3.3000000000000003</v>
      </c>
      <c r="E42" s="5">
        <f>Trueque!B4</f>
        <v>45221.375</v>
      </c>
    </row>
    <row r="43" spans="1:5" x14ac:dyDescent="0.25">
      <c r="A43" s="2">
        <v>7</v>
      </c>
      <c r="B43" s="3">
        <f>Trueque!L4*Medida_Importancia_Mercancia!F4</f>
        <v>2.1</v>
      </c>
      <c r="C43" s="2">
        <v>10</v>
      </c>
      <c r="D43" s="3">
        <f>Trueque!F4*Medida_Importancia_Mercancia!C4</f>
        <v>13.5</v>
      </c>
      <c r="E43" s="5">
        <f>Trueque!B4</f>
        <v>45221.375</v>
      </c>
    </row>
    <row r="44" spans="1:5" x14ac:dyDescent="0.25">
      <c r="A44" s="2">
        <v>8</v>
      </c>
      <c r="B44" s="3">
        <f>Trueque!J4*Medida_Importancia_Mercancia!E4</f>
        <v>7.6999999999999993</v>
      </c>
      <c r="C44" s="2">
        <v>9</v>
      </c>
      <c r="D44" s="3">
        <f>Trueque!D4*Medida_Importancia_Mercancia!B4</f>
        <v>3.3000000000000003</v>
      </c>
      <c r="E44" s="5">
        <f>Trueque!B4</f>
        <v>45221.375</v>
      </c>
    </row>
    <row r="45" spans="1:5" x14ac:dyDescent="0.25">
      <c r="A45" s="2">
        <v>8</v>
      </c>
      <c r="B45" s="3">
        <f>Trueque!J4*Medida_Importancia_Mercancia!E4</f>
        <v>7.6999999999999993</v>
      </c>
      <c r="C45" s="2">
        <v>10</v>
      </c>
      <c r="D45" s="3">
        <f>Trueque!F4*Medida_Importancia_Mercancia!C4</f>
        <v>13.5</v>
      </c>
      <c r="E45" s="5">
        <f>Trueque!B4</f>
        <v>45221.375</v>
      </c>
    </row>
    <row r="46" spans="1:5" x14ac:dyDescent="0.25">
      <c r="A46" s="2">
        <v>9</v>
      </c>
      <c r="C46" s="2">
        <v>10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
  <sheetViews>
    <sheetView topLeftCell="H1" workbookViewId="0">
      <selection activeCell="B4" sqref="B4"/>
    </sheetView>
  </sheetViews>
  <sheetFormatPr defaultRowHeight="15" x14ac:dyDescent="0.25"/>
  <cols>
    <col min="1" max="1" width="10.85546875" style="2" bestFit="1" customWidth="1"/>
    <col min="2" max="2" width="23.85546875" style="5" bestFit="1" customWidth="1"/>
    <col min="3" max="3" width="22.28515625" style="2" bestFit="1" customWidth="1"/>
    <col min="4" max="4" width="27.28515625" style="3" bestFit="1" customWidth="1"/>
    <col min="5" max="5" width="21.140625" style="2" bestFit="1" customWidth="1"/>
    <col min="6" max="6" width="27.28515625" style="3" bestFit="1" customWidth="1"/>
    <col min="7" max="7" width="21.140625" style="2" bestFit="1" customWidth="1"/>
    <col min="8" max="8" width="27.28515625" style="3" bestFit="1" customWidth="1"/>
    <col min="9" max="9" width="23" style="2" bestFit="1" customWidth="1"/>
    <col min="10" max="10" width="29" style="3" bestFit="1" customWidth="1"/>
    <col min="11" max="11" width="23" style="2" bestFit="1" customWidth="1"/>
    <col min="12" max="12" width="29" style="3" bestFit="1" customWidth="1"/>
    <col min="13" max="13" width="23" style="2" bestFit="1" customWidth="1"/>
    <col min="14" max="14" width="29" style="3" bestFit="1" customWidth="1"/>
    <col min="15" max="15" width="32.140625" bestFit="1" customWidth="1"/>
  </cols>
  <sheetData>
    <row r="1" spans="1:14" x14ac:dyDescent="0.25">
      <c r="A1" s="2" t="s">
        <v>4</v>
      </c>
      <c r="B1" s="5" t="s">
        <v>23</v>
      </c>
      <c r="C1" s="2" t="s">
        <v>6</v>
      </c>
      <c r="D1" s="3" t="s">
        <v>5</v>
      </c>
      <c r="E1" s="2" t="s">
        <v>8</v>
      </c>
      <c r="F1" s="3" t="s">
        <v>9</v>
      </c>
      <c r="G1" s="2" t="s">
        <v>11</v>
      </c>
      <c r="H1" s="3" t="s">
        <v>12</v>
      </c>
      <c r="I1" s="2" t="s">
        <v>14</v>
      </c>
      <c r="J1" s="3" t="s">
        <v>15</v>
      </c>
      <c r="K1" s="2" t="s">
        <v>17</v>
      </c>
      <c r="L1" s="3" t="s">
        <v>18</v>
      </c>
      <c r="M1" s="2" t="s">
        <v>20</v>
      </c>
      <c r="N1" s="3" t="s">
        <v>21</v>
      </c>
    </row>
    <row r="2" spans="1:14" x14ac:dyDescent="0.25">
      <c r="A2" s="2">
        <v>1</v>
      </c>
      <c r="B2" s="5">
        <v>45220.5</v>
      </c>
      <c r="C2" s="2">
        <v>1</v>
      </c>
      <c r="D2" s="3">
        <v>8</v>
      </c>
      <c r="E2" s="2">
        <v>2</v>
      </c>
      <c r="F2" s="3">
        <v>7</v>
      </c>
      <c r="G2" s="2">
        <v>3</v>
      </c>
      <c r="H2" s="3">
        <v>9</v>
      </c>
      <c r="I2" s="2">
        <v>4</v>
      </c>
      <c r="J2" s="3">
        <v>13</v>
      </c>
      <c r="K2" s="2">
        <v>5</v>
      </c>
      <c r="L2" s="3">
        <v>0.4</v>
      </c>
    </row>
    <row r="3" spans="1:14" x14ac:dyDescent="0.25">
      <c r="A3" s="2">
        <v>2</v>
      </c>
      <c r="B3" s="5">
        <v>45220.041666666664</v>
      </c>
      <c r="C3" s="2">
        <v>2</v>
      </c>
      <c r="D3" s="3">
        <v>16</v>
      </c>
      <c r="E3" s="2">
        <v>7</v>
      </c>
      <c r="F3" s="3">
        <v>15</v>
      </c>
      <c r="I3" s="2">
        <v>3</v>
      </c>
      <c r="J3" s="3">
        <v>19</v>
      </c>
      <c r="K3" s="2">
        <v>8</v>
      </c>
      <c r="L3" s="3">
        <v>14</v>
      </c>
    </row>
    <row r="4" spans="1:14" x14ac:dyDescent="0.25">
      <c r="A4" s="2">
        <v>3</v>
      </c>
      <c r="B4" s="5">
        <v>45221.375</v>
      </c>
      <c r="C4" s="2">
        <v>9</v>
      </c>
      <c r="D4" s="3">
        <v>33</v>
      </c>
      <c r="E4" s="2">
        <v>10</v>
      </c>
      <c r="F4" s="3">
        <v>15</v>
      </c>
      <c r="I4" s="2">
        <v>8</v>
      </c>
      <c r="J4" s="3">
        <v>11</v>
      </c>
      <c r="K4" s="2">
        <v>7</v>
      </c>
      <c r="L4" s="3">
        <v>7</v>
      </c>
    </row>
    <row r="5" spans="1:14" x14ac:dyDescent="0.25">
      <c r="A5" s="2">
        <v>4</v>
      </c>
      <c r="B5" s="5">
        <v>45221.458333333336</v>
      </c>
      <c r="C5" s="2">
        <v>6</v>
      </c>
      <c r="D5" s="3">
        <v>12</v>
      </c>
      <c r="E5" s="2">
        <v>5</v>
      </c>
      <c r="F5" s="3">
        <v>22</v>
      </c>
      <c r="I5" s="2">
        <v>4</v>
      </c>
      <c r="J5" s="3">
        <v>78</v>
      </c>
      <c r="K5" s="2">
        <v>3</v>
      </c>
      <c r="L5" s="3">
        <v>45</v>
      </c>
    </row>
    <row r="6" spans="1:14" x14ac:dyDescent="0.25">
      <c r="A6" s="2">
        <v>5</v>
      </c>
      <c r="B6" s="5">
        <v>45221.5</v>
      </c>
      <c r="C6" s="2">
        <v>9</v>
      </c>
      <c r="D6" s="3">
        <v>18</v>
      </c>
      <c r="E6" s="2">
        <v>8</v>
      </c>
      <c r="F6" s="3">
        <v>34</v>
      </c>
      <c r="I6" s="2">
        <v>2</v>
      </c>
      <c r="J6" s="3">
        <v>44</v>
      </c>
      <c r="K6" s="2">
        <v>1</v>
      </c>
      <c r="L6" s="3">
        <v>12</v>
      </c>
    </row>
    <row r="7" spans="1:14" x14ac:dyDescent="0.25">
      <c r="A7" s="2">
        <v>6</v>
      </c>
      <c r="B7" s="5">
        <v>45221.541666666664</v>
      </c>
      <c r="C7" s="2">
        <v>7</v>
      </c>
      <c r="D7" s="3">
        <v>19</v>
      </c>
      <c r="E7" s="2">
        <v>6</v>
      </c>
      <c r="F7" s="3">
        <v>41</v>
      </c>
      <c r="I7" s="2">
        <v>5</v>
      </c>
      <c r="J7" s="3">
        <v>33</v>
      </c>
      <c r="K7" s="2">
        <v>1</v>
      </c>
      <c r="L7" s="3">
        <v>43</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
  <sheetViews>
    <sheetView topLeftCell="D1" workbookViewId="0">
      <selection activeCell="B7" sqref="B7"/>
    </sheetView>
  </sheetViews>
  <sheetFormatPr defaultRowHeight="15" x14ac:dyDescent="0.25"/>
  <cols>
    <col min="1" max="1" width="10.85546875" style="2" bestFit="1" customWidth="1"/>
    <col min="2" max="2" width="39.85546875" style="6" bestFit="1" customWidth="1"/>
    <col min="3" max="3" width="38.85546875" style="6" bestFit="1" customWidth="1"/>
    <col min="4" max="4" width="39.85546875" style="6" bestFit="1" customWidth="1"/>
    <col min="5" max="6" width="32.140625" style="6" bestFit="1" customWidth="1"/>
    <col min="7" max="7" width="32.140625" style="1" bestFit="1" customWidth="1"/>
  </cols>
  <sheetData>
    <row r="1" spans="1:7" x14ac:dyDescent="0.25">
      <c r="A1" s="2" t="s">
        <v>4</v>
      </c>
      <c r="B1" s="6" t="s">
        <v>7</v>
      </c>
      <c r="C1" s="6" t="s">
        <v>10</v>
      </c>
      <c r="D1" s="6" t="s">
        <v>13</v>
      </c>
      <c r="E1" s="6" t="s">
        <v>16</v>
      </c>
      <c r="F1" s="6" t="s">
        <v>19</v>
      </c>
      <c r="G1" s="1" t="s">
        <v>22</v>
      </c>
    </row>
    <row r="2" spans="1:7" x14ac:dyDescent="0.25">
      <c r="A2" s="2">
        <v>1</v>
      </c>
      <c r="B2" s="6">
        <v>0.6</v>
      </c>
      <c r="C2" s="6">
        <v>0.3</v>
      </c>
      <c r="D2" s="6">
        <v>0.1</v>
      </c>
      <c r="E2" s="6">
        <v>0.6</v>
      </c>
      <c r="F2" s="6">
        <v>0.4</v>
      </c>
    </row>
    <row r="3" spans="1:7" x14ac:dyDescent="0.25">
      <c r="A3" s="2">
        <v>2</v>
      </c>
      <c r="B3" s="6">
        <v>0.3</v>
      </c>
      <c r="C3" s="6">
        <v>0.7</v>
      </c>
      <c r="E3" s="6">
        <v>0.8</v>
      </c>
      <c r="F3" s="6">
        <v>0.2</v>
      </c>
    </row>
    <row r="4" spans="1:7" x14ac:dyDescent="0.25">
      <c r="A4" s="2">
        <v>3</v>
      </c>
      <c r="B4" s="6">
        <v>0.1</v>
      </c>
      <c r="C4" s="6">
        <v>0.9</v>
      </c>
      <c r="E4" s="6">
        <v>0.7</v>
      </c>
      <c r="F4" s="6">
        <v>0.3</v>
      </c>
    </row>
    <row r="5" spans="1:7" x14ac:dyDescent="0.25">
      <c r="A5" s="2">
        <v>4</v>
      </c>
      <c r="B5" s="6">
        <v>0.15</v>
      </c>
      <c r="C5" s="6">
        <v>0.85</v>
      </c>
      <c r="E5" s="6">
        <v>0.14000000000000001</v>
      </c>
      <c r="F5" s="6">
        <v>0.86</v>
      </c>
    </row>
    <row r="6" spans="1:7" x14ac:dyDescent="0.25">
      <c r="A6" s="2">
        <v>5</v>
      </c>
      <c r="B6" s="6">
        <v>0.5</v>
      </c>
      <c r="C6" s="6">
        <v>0.5</v>
      </c>
      <c r="E6" s="6">
        <v>0.4</v>
      </c>
      <c r="F6" s="6">
        <v>0.6</v>
      </c>
    </row>
    <row r="7" spans="1:7" x14ac:dyDescent="0.25">
      <c r="A7" s="2">
        <v>6</v>
      </c>
      <c r="B7" s="6">
        <v>0.7</v>
      </c>
      <c r="C7" s="6">
        <v>0.3</v>
      </c>
      <c r="E7" s="6">
        <v>0.4</v>
      </c>
      <c r="F7" s="6">
        <v>0.6</v>
      </c>
    </row>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
  <sheetViews>
    <sheetView tabSelected="1" workbookViewId="0">
      <selection activeCell="I12" sqref="I12"/>
    </sheetView>
  </sheetViews>
  <sheetFormatPr defaultRowHeight="15" x14ac:dyDescent="0.25"/>
  <cols>
    <col min="1" max="1" width="27.140625" bestFit="1" customWidth="1"/>
  </cols>
  <sheetData>
    <row r="1" spans="1:11" x14ac:dyDescent="0.25">
      <c r="A1" t="s">
        <v>40</v>
      </c>
      <c r="B1" s="7">
        <v>1</v>
      </c>
      <c r="C1" s="7">
        <v>2</v>
      </c>
      <c r="D1" s="7">
        <v>3</v>
      </c>
      <c r="E1" s="7">
        <v>4</v>
      </c>
      <c r="F1" s="7">
        <v>5</v>
      </c>
      <c r="G1" s="7">
        <v>6</v>
      </c>
      <c r="H1" s="7">
        <v>7</v>
      </c>
      <c r="I1" s="7">
        <v>8</v>
      </c>
      <c r="J1" s="7">
        <v>9</v>
      </c>
      <c r="K1" s="7">
        <v>10</v>
      </c>
    </row>
    <row r="2" spans="1:11" x14ac:dyDescent="0.25">
      <c r="A2" s="7">
        <v>1</v>
      </c>
      <c r="C2" t="b">
        <v>0</v>
      </c>
      <c r="D2" t="b">
        <v>0</v>
      </c>
      <c r="E2" t="b">
        <v>1</v>
      </c>
      <c r="F2" t="b">
        <v>1</v>
      </c>
      <c r="G2" t="b">
        <v>1</v>
      </c>
      <c r="H2" t="b">
        <v>1</v>
      </c>
      <c r="I2" t="b">
        <v>1</v>
      </c>
      <c r="J2" t="b">
        <v>1</v>
      </c>
      <c r="K2" t="b">
        <v>0</v>
      </c>
    </row>
    <row r="3" spans="1:11" x14ac:dyDescent="0.25">
      <c r="A3" s="7">
        <v>2</v>
      </c>
      <c r="B3" t="b">
        <v>0</v>
      </c>
      <c r="D3" t="b">
        <v>1</v>
      </c>
      <c r="E3" t="b">
        <v>1</v>
      </c>
      <c r="F3" t="b">
        <v>1</v>
      </c>
      <c r="G3" t="b">
        <v>0</v>
      </c>
      <c r="H3" t="b">
        <v>0</v>
      </c>
      <c r="I3" t="b">
        <v>1</v>
      </c>
      <c r="J3" t="b">
        <v>1</v>
      </c>
      <c r="K3" t="b">
        <v>0</v>
      </c>
    </row>
    <row r="4" spans="1:11" x14ac:dyDescent="0.25">
      <c r="A4" s="7">
        <v>3</v>
      </c>
      <c r="B4" t="b">
        <v>0</v>
      </c>
      <c r="C4" t="b">
        <v>1</v>
      </c>
      <c r="E4" t="b">
        <v>1</v>
      </c>
      <c r="F4" t="b">
        <v>1</v>
      </c>
      <c r="G4" t="b">
        <v>1</v>
      </c>
      <c r="H4" t="b">
        <v>1</v>
      </c>
      <c r="I4" t="b">
        <v>0</v>
      </c>
      <c r="J4" t="b">
        <v>0</v>
      </c>
      <c r="K4" t="b">
        <v>0</v>
      </c>
    </row>
    <row r="5" spans="1:11" x14ac:dyDescent="0.25">
      <c r="A5" s="7">
        <v>4</v>
      </c>
      <c r="B5" t="b">
        <v>1</v>
      </c>
      <c r="C5" t="b">
        <v>1</v>
      </c>
      <c r="D5" t="b">
        <v>1</v>
      </c>
      <c r="F5" t="b">
        <v>1</v>
      </c>
      <c r="G5" t="b">
        <v>1</v>
      </c>
      <c r="H5" t="b">
        <v>0</v>
      </c>
      <c r="I5" t="b">
        <v>0</v>
      </c>
      <c r="J5" t="b">
        <v>0</v>
      </c>
      <c r="K5" t="b">
        <v>0</v>
      </c>
    </row>
    <row r="6" spans="1:11" x14ac:dyDescent="0.25">
      <c r="A6" s="7">
        <v>5</v>
      </c>
      <c r="B6" t="b">
        <v>1</v>
      </c>
      <c r="C6" t="b">
        <v>1</v>
      </c>
      <c r="D6" t="b">
        <v>1</v>
      </c>
      <c r="E6" t="b">
        <v>1</v>
      </c>
      <c r="G6" t="b">
        <v>1</v>
      </c>
      <c r="H6" t="b">
        <v>1</v>
      </c>
      <c r="I6" t="b">
        <v>0</v>
      </c>
      <c r="J6" t="b">
        <v>0</v>
      </c>
      <c r="K6" t="b">
        <v>0</v>
      </c>
    </row>
    <row r="7" spans="1:11" x14ac:dyDescent="0.25">
      <c r="A7" s="7">
        <v>6</v>
      </c>
      <c r="B7" t="b">
        <v>1</v>
      </c>
      <c r="C7" t="b">
        <v>0</v>
      </c>
      <c r="D7" t="b">
        <v>1</v>
      </c>
      <c r="E7" t="b">
        <v>1</v>
      </c>
      <c r="F7" t="b">
        <v>1</v>
      </c>
      <c r="H7" t="b">
        <v>0</v>
      </c>
      <c r="I7" t="b">
        <v>0</v>
      </c>
      <c r="J7" t="b">
        <v>0</v>
      </c>
      <c r="K7" t="b">
        <v>0</v>
      </c>
    </row>
    <row r="8" spans="1:11" x14ac:dyDescent="0.25">
      <c r="A8" s="7">
        <v>7</v>
      </c>
      <c r="B8" t="b">
        <v>1</v>
      </c>
      <c r="C8" t="b">
        <v>0</v>
      </c>
      <c r="D8" t="b">
        <v>1</v>
      </c>
      <c r="E8" t="b">
        <v>0</v>
      </c>
      <c r="F8" t="b">
        <v>1</v>
      </c>
      <c r="G8" t="b">
        <v>0</v>
      </c>
      <c r="I8" t="b">
        <v>1</v>
      </c>
      <c r="J8" t="b">
        <v>1</v>
      </c>
      <c r="K8" t="b">
        <v>1</v>
      </c>
    </row>
    <row r="9" spans="1:11" x14ac:dyDescent="0.25">
      <c r="A9" s="7">
        <v>8</v>
      </c>
      <c r="B9" t="b">
        <v>1</v>
      </c>
      <c r="C9" t="b">
        <v>1</v>
      </c>
      <c r="D9" t="b">
        <v>0</v>
      </c>
      <c r="E9" t="b">
        <v>0</v>
      </c>
      <c r="F9" t="b">
        <v>0</v>
      </c>
      <c r="G9" t="b">
        <v>0</v>
      </c>
      <c r="H9" t="b">
        <v>1</v>
      </c>
      <c r="J9" t="b">
        <v>1</v>
      </c>
      <c r="K9" t="b">
        <v>1</v>
      </c>
    </row>
    <row r="10" spans="1:11" x14ac:dyDescent="0.25">
      <c r="A10" s="7">
        <v>9</v>
      </c>
      <c r="B10" t="b">
        <v>1</v>
      </c>
      <c r="C10" t="b">
        <v>1</v>
      </c>
      <c r="D10" t="b">
        <v>0</v>
      </c>
      <c r="E10" t="b">
        <v>0</v>
      </c>
      <c r="F10" t="b">
        <v>0</v>
      </c>
      <c r="G10" t="b">
        <v>0</v>
      </c>
      <c r="H10" t="b">
        <v>1</v>
      </c>
      <c r="I10" t="b">
        <v>1</v>
      </c>
      <c r="K10" t="b">
        <v>0</v>
      </c>
    </row>
    <row r="11" spans="1:11" x14ac:dyDescent="0.25">
      <c r="A11" s="7">
        <v>10</v>
      </c>
      <c r="B11" t="b">
        <v>0</v>
      </c>
      <c r="C11" t="b">
        <v>0</v>
      </c>
      <c r="D11" t="b">
        <v>0</v>
      </c>
      <c r="E11" t="b">
        <v>0</v>
      </c>
      <c r="F11" t="b">
        <v>0</v>
      </c>
      <c r="G11" t="b">
        <v>0</v>
      </c>
      <c r="H11" t="b">
        <v>1</v>
      </c>
      <c r="I11" t="b">
        <v>1</v>
      </c>
      <c r="J11" t="b">
        <v>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Mercancia</vt:lpstr>
      <vt:lpstr>Tasas_Cambio</vt:lpstr>
      <vt:lpstr>Trueque</vt:lpstr>
      <vt:lpstr>Medida_Importancia_Mercancia</vt:lpstr>
      <vt:lpstr>Mercancia_Truequeada</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abalcacer@gmail.com</dc:creator>
  <cp:lastModifiedBy>abalcacer@gmail.com</cp:lastModifiedBy>
  <dcterms:created xsi:type="dcterms:W3CDTF">2023-10-21T13:54:04Z</dcterms:created>
  <dcterms:modified xsi:type="dcterms:W3CDTF">2023-10-24T14:40:35Z</dcterms:modified>
</cp:coreProperties>
</file>